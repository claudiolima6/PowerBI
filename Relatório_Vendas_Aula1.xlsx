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Curso Excel\"/>
    </mc:Choice>
  </mc:AlternateContent>
  <xr:revisionPtr revIDLastSave="0" documentId="13_ncr:1_{60FBFB82-AC38-4AEE-A3DD-A160869D9825}" xr6:coauthVersionLast="47" xr6:coauthVersionMax="47" xr10:uidLastSave="{00000000-0000-0000-0000-000000000000}"/>
  <bookViews>
    <workbookView xWindow="-108" yWindow="-108" windowWidth="23256" windowHeight="12456" tabRatio="7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3" l="1"/>
  <c r="A18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<sst xmlns="http://schemas.openxmlformats.org/spreadsheetml/2006/main" count="2017" uniqueCount="319">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</sst>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0" xfId="0" applyNumberFormat="1" applyFill="1"/>
    <xf numFmtId="164" fontId="0" fillId="0" borderId="0" xfId="0" applyNumberFormat="1"/>
    <xf numFmtId="44" fontId="0" fillId="0" borderId="0" xfId="2" applyFont="1"/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63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18597EE-130E-42E6-ADA8-AA70698ED1BF}">
      <tableStyleElement type="wholeTable" dxfId="262"/>
      <tableStyleElement type="headerRow" dxfId="261"/>
    </tableStyle>
  </tableStyles>
  <colors>
    <mruColors>
      <color rgb="FF22C55E"/>
      <color rgb="FF9BC848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[Base.xlsx]C̳álculos!Tabela_Anual_Total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741975837091163E-2"/>
          <c:y val="5.0925925925925923E-2"/>
          <c:w val="0.7884545405275668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C̳álculos!$B$5:$B$7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7-482B-ABAF-4587DD1CBF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53530863"/>
        <c:axId val="2053534223"/>
      </c:barChart>
      <c:catAx>
        <c:axId val="205353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3534223"/>
        <c:crosses val="autoZero"/>
        <c:auto val="1"/>
        <c:lblAlgn val="ctr"/>
        <c:lblOffset val="100"/>
        <c:noMultiLvlLbl val="0"/>
      </c:catAx>
      <c:valAx>
        <c:axId val="205353422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5353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1</xdr:row>
      <xdr:rowOff>152400</xdr:rowOff>
    </xdr:from>
    <xdr:to>
      <xdr:col>0</xdr:col>
      <xdr:colOff>1359685</xdr:colOff>
      <xdr:row>3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F1DFAD-9FA9-4612-81A4-DF911269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33375"/>
          <a:ext cx="1112035" cy="323850"/>
        </a:xfrm>
        <a:prstGeom prst="rect">
          <a:avLst/>
        </a:prstGeom>
      </xdr:spPr>
    </xdr:pic>
    <xdr:clientData/>
  </xdr:twoCellAnchor>
  <xdr:twoCellAnchor>
    <xdr:from>
      <xdr:col>1</xdr:col>
      <xdr:colOff>190499</xdr:colOff>
      <xdr:row>15</xdr:row>
      <xdr:rowOff>104775</xdr:rowOff>
    </xdr:from>
    <xdr:to>
      <xdr:col>17</xdr:col>
      <xdr:colOff>485774</xdr:colOff>
      <xdr:row>32</xdr:row>
      <xdr:rowOff>76200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5771C828-361A-5811-F252-F07C6E6A7C40}"/>
            </a:ext>
          </a:extLst>
        </xdr:cNvPr>
        <xdr:cNvGrpSpPr/>
      </xdr:nvGrpSpPr>
      <xdr:grpSpPr>
        <a:xfrm>
          <a:off x="2039177" y="2900984"/>
          <a:ext cx="9558545" cy="3125442"/>
          <a:chOff x="2390774" y="1009650"/>
          <a:chExt cx="9553575" cy="3048000"/>
        </a:xfrm>
        <a:solidFill>
          <a:schemeClr val="bg1">
            <a:lumMod val="85000"/>
          </a:schemeClr>
        </a:solidFill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3D30C70F-6237-3124-7287-5A858873C681}"/>
              </a:ext>
            </a:extLst>
          </xdr:cNvPr>
          <xdr:cNvSpPr/>
        </xdr:nvSpPr>
        <xdr:spPr>
          <a:xfrm>
            <a:off x="2390774" y="1009650"/>
            <a:ext cx="9553575" cy="30480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9B17CE8-3396-43F9-BB93-6131D6596C50}"/>
              </a:ext>
            </a:extLst>
          </xdr:cNvPr>
          <xdr:cNvGraphicFramePr>
            <a:graphicFrameLocks/>
          </xdr:cNvGraphicFramePr>
        </xdr:nvGraphicFramePr>
        <xdr:xfrm>
          <a:off x="2874645" y="1085850"/>
          <a:ext cx="904113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47624</xdr:colOff>
      <xdr:row>7</xdr:row>
      <xdr:rowOff>108586</xdr:rowOff>
    </xdr:from>
    <xdr:to>
      <xdr:col>0</xdr:col>
      <xdr:colOff>1771650</xdr:colOff>
      <xdr:row>14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B90CFD0-A00A-4ABF-AB41-9B02F8A49D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184911"/>
              <a:ext cx="1724026" cy="1405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57150</xdr:colOff>
      <xdr:row>3</xdr:row>
      <xdr:rowOff>85725</xdr:rowOff>
    </xdr:from>
    <xdr:to>
      <xdr:col>8</xdr:col>
      <xdr:colOff>600075</xdr:colOff>
      <xdr:row>13</xdr:row>
      <xdr:rowOff>85725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327D40F7-3D64-4975-4336-72B0403E830A}"/>
            </a:ext>
          </a:extLst>
        </xdr:cNvPr>
        <xdr:cNvGrpSpPr/>
      </xdr:nvGrpSpPr>
      <xdr:grpSpPr>
        <a:xfrm>
          <a:off x="1905828" y="721829"/>
          <a:ext cx="4445690" cy="1789044"/>
          <a:chOff x="1905000" y="714375"/>
          <a:chExt cx="4448175" cy="177165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CCEC27C-4063-5F66-5561-7EE7EB2370BB}"/>
              </a:ext>
            </a:extLst>
          </xdr:cNvPr>
          <xdr:cNvSpPr/>
        </xdr:nvSpPr>
        <xdr:spPr>
          <a:xfrm>
            <a:off x="1933575" y="714375"/>
            <a:ext cx="4419600" cy="177165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A18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5A7929B-B77F-19F1-2345-50A09E218450}"/>
              </a:ext>
            </a:extLst>
          </xdr:cNvPr>
          <xdr:cNvSpPr/>
        </xdr:nvSpPr>
        <xdr:spPr>
          <a:xfrm>
            <a:off x="3105150" y="1152526"/>
            <a:ext cx="2609850" cy="1028699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7ECABA8-25CF-4212-85B6-767CAEA84477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R$ 600,00 </a:t>
            </a:fld>
            <a:endParaRPr lang="pt-BR" sz="3600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788E47C-5FB8-41CE-A684-0651338EFF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00" y="1123950"/>
            <a:ext cx="1171575" cy="1120319"/>
          </a:xfrm>
          <a:prstGeom prst="rect">
            <a:avLst/>
          </a:prstGeom>
        </xdr:spPr>
      </xdr:pic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1160421-7E64-BD83-73AC-DC9DE0E4B8B7}"/>
              </a:ext>
            </a:extLst>
          </xdr:cNvPr>
          <xdr:cNvSpPr txBox="1"/>
        </xdr:nvSpPr>
        <xdr:spPr>
          <a:xfrm>
            <a:off x="3333751" y="762000"/>
            <a:ext cx="2019300" cy="314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400" b="1">
                <a:solidFill>
                  <a:srgbClr val="00B050"/>
                </a:solidFill>
              </a:rPr>
              <a:t>EA PLAY SEASON PASS</a:t>
            </a:r>
          </a:p>
        </xdr:txBody>
      </xdr:sp>
    </xdr:grpSp>
    <xdr:clientData/>
  </xdr:twoCellAnchor>
  <xdr:twoCellAnchor>
    <xdr:from>
      <xdr:col>10</xdr:col>
      <xdr:colOff>66675</xdr:colOff>
      <xdr:row>4</xdr:row>
      <xdr:rowOff>0</xdr:rowOff>
    </xdr:from>
    <xdr:to>
      <xdr:col>17</xdr:col>
      <xdr:colOff>381000</xdr:colOff>
      <xdr:row>13</xdr:row>
      <xdr:rowOff>95250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91AAE9B-CACC-56E0-A559-967FC9317D5D}"/>
            </a:ext>
          </a:extLst>
        </xdr:cNvPr>
        <xdr:cNvGrpSpPr/>
      </xdr:nvGrpSpPr>
      <xdr:grpSpPr>
        <a:xfrm>
          <a:off x="7037318" y="735496"/>
          <a:ext cx="4455630" cy="1784902"/>
          <a:chOff x="7038975" y="723900"/>
          <a:chExt cx="4419600" cy="1771650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E68584E5-8277-484C-AF1B-388A2C7A4C00}"/>
              </a:ext>
            </a:extLst>
          </xdr:cNvPr>
          <xdr:cNvGrpSpPr/>
        </xdr:nvGrpSpPr>
        <xdr:grpSpPr>
          <a:xfrm>
            <a:off x="7038975" y="723900"/>
            <a:ext cx="4419600" cy="1771650"/>
            <a:chOff x="1933575" y="714375"/>
            <a:chExt cx="4419600" cy="1771650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20FAEF9B-CF66-A782-5096-8C9AFA21A9B9}"/>
                </a:ext>
              </a:extLst>
            </xdr:cNvPr>
            <xdr:cNvSpPr/>
          </xdr:nvSpPr>
          <xdr:spPr>
            <a:xfrm>
              <a:off x="1933575" y="714375"/>
              <a:ext cx="4419600" cy="1771650"/>
            </a:xfrm>
            <a:prstGeom prst="round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A28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A82E546D-FDFD-34CE-CA68-7E5E1AA74EBD}"/>
                </a:ext>
              </a:extLst>
            </xdr:cNvPr>
            <xdr:cNvSpPr/>
          </xdr:nvSpPr>
          <xdr:spPr>
            <a:xfrm>
              <a:off x="3105150" y="1152526"/>
              <a:ext cx="2609850" cy="1028699"/>
            </a:xfrm>
            <a:prstGeom prst="round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12EFB13-717E-4C9C-A78B-599B552305D5}" type="TxLink">
                <a:rPr lang="en-US" sz="36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R$ 940,00 </a:t>
              </a:fld>
              <a:endParaRPr lang="pt-BR" sz="3600"/>
            </a:p>
          </xdr:txBody>
        </xdr:sp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30CF6808-05EE-4333-0175-1ED490B5797F}"/>
                </a:ext>
              </a:extLst>
            </xdr:cNvPr>
            <xdr:cNvSpPr txBox="1"/>
          </xdr:nvSpPr>
          <xdr:spPr>
            <a:xfrm>
              <a:off x="3343276" y="781050"/>
              <a:ext cx="2181224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400" b="1">
                  <a:solidFill>
                    <a:srgbClr val="00B050"/>
                  </a:solidFill>
                </a:rPr>
                <a:t>MINECRAFT 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C1B56777-9BD0-4E54-BDC0-72875BFCBBF4}"/>
              </a:ext>
            </a:extLst>
          </xdr:cNvPr>
          <xdr:cNvGrpSpPr/>
        </xdr:nvGrpSpPr>
        <xdr:grpSpPr>
          <a:xfrm>
            <a:off x="7038975" y="1181100"/>
            <a:ext cx="1114425" cy="72199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5F2F40B1-5DC0-221C-E953-DA3C751A0C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A40D188D-08E9-C3C2-4B97-F360A08322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</xdr:col>
      <xdr:colOff>85725</xdr:colOff>
      <xdr:row>16</xdr:row>
      <xdr:rowOff>19050</xdr:rowOff>
    </xdr:from>
    <xdr:to>
      <xdr:col>12</xdr:col>
      <xdr:colOff>447675</xdr:colOff>
      <xdr:row>18</xdr:row>
      <xdr:rowOff>9525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83182D4B-4656-BDF0-ABAA-C9EAA8311473}"/>
            </a:ext>
          </a:extLst>
        </xdr:cNvPr>
        <xdr:cNvSpPr txBox="1"/>
      </xdr:nvSpPr>
      <xdr:spPr>
        <a:xfrm>
          <a:off x="4619625" y="2962275"/>
          <a:ext cx="38862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rgbClr val="22C55E"/>
              </a:solidFill>
            </a:rPr>
            <a:t>XBOX GAME</a:t>
          </a:r>
          <a:r>
            <a:rPr lang="pt-BR" sz="1400" b="1" baseline="0">
              <a:solidFill>
                <a:srgbClr val="22C55E"/>
              </a:solidFill>
            </a:rPr>
            <a:t> PASS AUTO RENEWAL</a:t>
          </a:r>
          <a:endParaRPr lang="pt-BR" sz="1400" b="1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2</xdr:col>
      <xdr:colOff>9524</xdr:colOff>
      <xdr:row>22</xdr:row>
      <xdr:rowOff>171450</xdr:rowOff>
    </xdr:from>
    <xdr:to>
      <xdr:col>3</xdr:col>
      <xdr:colOff>511959</xdr:colOff>
      <xdr:row>24</xdr:row>
      <xdr:rowOff>133350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14E51A5-FA68-4329-B315-AB7208010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4" y="4200525"/>
          <a:ext cx="1112035" cy="323850"/>
        </a:xfrm>
        <a:prstGeom prst="rect">
          <a:avLst/>
        </a:prstGeom>
      </xdr:spPr>
    </xdr:pic>
    <xdr:clientData/>
  </xdr:twoCellAnchor>
  <xdr:twoCellAnchor>
    <xdr:from>
      <xdr:col>0</xdr:col>
      <xdr:colOff>145775</xdr:colOff>
      <xdr:row>12</xdr:row>
      <xdr:rowOff>13253</xdr:rowOff>
    </xdr:from>
    <xdr:to>
      <xdr:col>0</xdr:col>
      <xdr:colOff>1696279</xdr:colOff>
      <xdr:row>13</xdr:row>
      <xdr:rowOff>99392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F01B3F1-2AC7-658A-E555-3F5299E23270}"/>
            </a:ext>
          </a:extLst>
        </xdr:cNvPr>
        <xdr:cNvSpPr txBox="1"/>
      </xdr:nvSpPr>
      <xdr:spPr>
        <a:xfrm>
          <a:off x="145775" y="2252870"/>
          <a:ext cx="1550504" cy="271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01/01/2024</a:t>
          </a:r>
          <a:r>
            <a:rPr lang="pt-BR" sz="1000" baseline="0"/>
            <a:t> - 31/12/2024</a:t>
          </a:r>
          <a:r>
            <a:rPr lang="pt-BR" sz="1000"/>
            <a:t> </a:t>
          </a:r>
        </a:p>
      </xdr:txBody>
    </xdr:sp>
    <xdr:clientData/>
  </xdr:twoCellAnchor>
  <xdr:twoCellAnchor>
    <xdr:from>
      <xdr:col>17</xdr:col>
      <xdr:colOff>46381</xdr:colOff>
      <xdr:row>1</xdr:row>
      <xdr:rowOff>231913</xdr:rowOff>
    </xdr:from>
    <xdr:to>
      <xdr:col>20</xdr:col>
      <xdr:colOff>417442</xdr:colOff>
      <xdr:row>3</xdr:row>
      <xdr:rowOff>13252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9DCFA720-39AB-E66B-7C43-0C1E4D668DFB}"/>
            </a:ext>
          </a:extLst>
        </xdr:cNvPr>
        <xdr:cNvSpPr txBox="1"/>
      </xdr:nvSpPr>
      <xdr:spPr>
        <a:xfrm>
          <a:off x="11158329" y="417443"/>
          <a:ext cx="2199861" cy="23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Updated: 26/02/2026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Lima dos Santos" refreshedDate="46078.475564699074" createdVersion="8" refreshedVersion="8" minRefreshableVersion="3" recordCount="295" xr:uid="{F6EEED24-9CF2-4CF1-995C-E6334E7D789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78460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DB4AF-840D-4479-880F-C5F6C87A22F8}" name="Tabela_EAPlay_Seas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2:B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6">
    <format dxfId="239">
      <pivotArea field="6" type="button" dataOnly="0" labelOnly="1" outline="0" axis="axisPage" fieldPosition="0"/>
    </format>
    <format dxfId="238">
      <pivotArea dataOnly="0" labelOnly="1" outline="0" fieldPosition="0">
        <references count="1">
          <reference field="6" count="1">
            <x v="0"/>
          </reference>
        </references>
      </pivotArea>
    </format>
    <format dxfId="237">
      <pivotArea field="2" type="button" dataOnly="0" labelOnly="1" outline="0" axis="axisRow" fieldPosition="0"/>
    </format>
    <format dxfId="236">
      <pivotArea dataOnly="0" labelOnly="1" outline="0" axis="axisValues" fieldPosition="0"/>
    </format>
    <format dxfId="235">
      <pivotArea grandRow="1" outline="0" collapsedLevelsAreSubtotals="1" fieldPosition="0"/>
    </format>
    <format dxfId="23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82634-DB51-430C-BF9D-66A21E443AFB}" name="Tabela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4:B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240">
      <pivotArea collapsedLevelsAreSubtotals="1" fieldPosition="0">
        <references count="1">
          <reference field="4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97CF6-77E9-49AB-8811-809B5735B88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2:B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6">
    <format dxfId="246">
      <pivotArea field="6" type="button" dataOnly="0" labelOnly="1" outline="0" axis="axisPage" fieldPosition="0"/>
    </format>
    <format dxfId="245">
      <pivotArea dataOnly="0" labelOnly="1" outline="0" fieldPosition="0">
        <references count="1">
          <reference field="6" count="1">
            <x v="0"/>
          </reference>
        </references>
      </pivotArea>
    </format>
    <format dxfId="244">
      <pivotArea field="2" type="button" dataOnly="0" labelOnly="1" outline="0" axis="axisRow" fieldPosition="0"/>
    </format>
    <format dxfId="243">
      <pivotArea dataOnly="0" labelOnly="1" outline="0" axis="axisValues" fieldPosition="0"/>
    </format>
    <format dxfId="242">
      <pivotArea grandRow="1" outline="0" collapsedLevelsAreSubtotals="1" fieldPosition="0"/>
    </format>
    <format dxfId="24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231CB65-1FDD-418E-B863-2346CA43E060}" sourceName="Subscription Type">
  <pivotTables>
    <pivotTable tabId="3" name="Tabela_Anual_Total"/>
    <pivotTable tabId="3" name="Tabela_EAPlay_Season"/>
    <pivotTable tabId="3" name="Tabela dinâmica3"/>
  </pivotTables>
  <data>
    <tabular pivotCacheId="77846007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42D0318-6880-4839-B78C-5688234E120C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6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59"/>
    <tableColumn id="2" xr3:uid="{53DD39D0-2220-4121-9E9D-4EAA7E151C0F}" name="Name" dataDxfId="258"/>
    <tableColumn id="3" xr3:uid="{4F5FF271-4C57-4BE0-8F2C-F82C8551625C}" name="Plan" dataDxfId="257"/>
    <tableColumn id="4" xr3:uid="{8C17EB93-79B9-4E55-B8F7-BEB82F8253E9}" name="Start Date" dataDxfId="256"/>
    <tableColumn id="5" xr3:uid="{48CEDF9B-1689-482A-A828-5CCE7713264A}" name="Auto Renewal" dataDxfId="255"/>
    <tableColumn id="6" xr3:uid="{78B82374-9AA7-4E38-AE4F-78CDE6C83720}" name="Subscription Price" dataDxfId="254" dataCellStyle="Moeda"/>
    <tableColumn id="7" xr3:uid="{F2433F68-AF33-49D0-B1FB-19A396074EDE}" name="Subscription Type" dataDxfId="253"/>
    <tableColumn id="8" xr3:uid="{FD4D9C95-F6E5-4933-9068-A71FF7DF9343}" name="EA Play Season Pass" dataDxfId="252"/>
    <tableColumn id="13" xr3:uid="{978DD0D2-834E-4CE4-A39B-30976086932F}" name="EA Play Season Pass_x000a_Price" dataDxfId="251" dataCellStyle="Moeda"/>
    <tableColumn id="9" xr3:uid="{6E29F111-C395-4580-9DAD-3407D9E8B1A4}" name="Minecraft Season Pass" dataDxfId="250"/>
    <tableColumn id="10" xr3:uid="{EF544EAA-7F25-4FD5-A10E-8E62804DB9E3}" name="Minecraft Season Pass Price" dataDxfId="249" dataCellStyle="Moeda"/>
    <tableColumn id="11" xr3:uid="{7F6EB64A-1F07-4E48-9F0F-AC7D9DCD26F8}" name="Coupon Value" dataDxfId="248" dataCellStyle="Moeda"/>
    <tableColumn id="12" xr3:uid="{2B04ABC8-DE6F-426E-ADC0-D8AFC68CA58E}" name="Total Value" dataDxfId="24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B28"/>
  <sheetViews>
    <sheetView showGridLines="0" workbookViewId="0">
      <selection activeCell="B5" sqref="B5:B6"/>
    </sheetView>
  </sheetViews>
  <sheetFormatPr defaultRowHeight="14.4" x14ac:dyDescent="0.3"/>
  <cols>
    <col min="1" max="1" width="16.77734375" bestFit="1" customWidth="1"/>
    <col min="2" max="2" width="32.218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1:2" x14ac:dyDescent="0.3">
      <c r="A2" s="12" t="s">
        <v>16</v>
      </c>
      <c r="B2" t="s">
        <v>24</v>
      </c>
    </row>
    <row r="4" spans="1:2" x14ac:dyDescent="0.3">
      <c r="A4" s="12" t="s">
        <v>313</v>
      </c>
      <c r="B4" t="s">
        <v>315</v>
      </c>
    </row>
    <row r="5" spans="1:2" x14ac:dyDescent="0.3">
      <c r="A5" s="13" t="s">
        <v>23</v>
      </c>
      <c r="B5" s="21">
        <v>217</v>
      </c>
    </row>
    <row r="6" spans="1:2" x14ac:dyDescent="0.3">
      <c r="A6" s="13" t="s">
        <v>19</v>
      </c>
      <c r="B6" s="21">
        <v>1537</v>
      </c>
    </row>
    <row r="7" spans="1:2" x14ac:dyDescent="0.3">
      <c r="A7" s="13" t="s">
        <v>314</v>
      </c>
      <c r="B7" s="14">
        <v>1754</v>
      </c>
    </row>
    <row r="10" spans="1:2" x14ac:dyDescent="0.3">
      <c r="A10" s="16" t="s">
        <v>16</v>
      </c>
      <c r="B10" t="s">
        <v>24</v>
      </c>
    </row>
    <row r="12" spans="1:2" x14ac:dyDescent="0.3">
      <c r="A12" s="16" t="s">
        <v>313</v>
      </c>
      <c r="B12" s="16" t="s">
        <v>317</v>
      </c>
    </row>
    <row r="13" spans="1:2" x14ac:dyDescent="0.3">
      <c r="A13" s="13" t="s">
        <v>22</v>
      </c>
      <c r="B13" s="14">
        <v>0</v>
      </c>
    </row>
    <row r="14" spans="1:2" x14ac:dyDescent="0.3">
      <c r="A14" s="13" t="s">
        <v>26</v>
      </c>
      <c r="B14" s="14">
        <v>0</v>
      </c>
    </row>
    <row r="15" spans="1:2" x14ac:dyDescent="0.3">
      <c r="A15" s="13" t="s">
        <v>18</v>
      </c>
      <c r="B15" s="14">
        <v>600</v>
      </c>
    </row>
    <row r="16" spans="1:2" x14ac:dyDescent="0.3">
      <c r="A16" s="17" t="s">
        <v>314</v>
      </c>
      <c r="B16" s="18">
        <v>600</v>
      </c>
    </row>
    <row r="18" spans="1:2" x14ac:dyDescent="0.3">
      <c r="A18" s="19">
        <f>GETPIVOTDATA("EA Play Season Pass
Price",$A$12)</f>
        <v>600</v>
      </c>
    </row>
    <row r="20" spans="1:2" x14ac:dyDescent="0.3">
      <c r="A20" s="16" t="s">
        <v>16</v>
      </c>
      <c r="B20" t="s">
        <v>24</v>
      </c>
    </row>
    <row r="22" spans="1:2" x14ac:dyDescent="0.3">
      <c r="A22" s="16" t="s">
        <v>313</v>
      </c>
      <c r="B22" s="16" t="s">
        <v>318</v>
      </c>
    </row>
    <row r="23" spans="1:2" x14ac:dyDescent="0.3">
      <c r="A23" s="13" t="s">
        <v>22</v>
      </c>
      <c r="B23" s="14">
        <v>0</v>
      </c>
    </row>
    <row r="24" spans="1:2" x14ac:dyDescent="0.3">
      <c r="A24" s="13" t="s">
        <v>26</v>
      </c>
      <c r="B24" s="14">
        <v>540</v>
      </c>
    </row>
    <row r="25" spans="1:2" x14ac:dyDescent="0.3">
      <c r="A25" s="13" t="s">
        <v>18</v>
      </c>
      <c r="B25" s="14">
        <v>400</v>
      </c>
    </row>
    <row r="26" spans="1:2" x14ac:dyDescent="0.3">
      <c r="A26" s="17" t="s">
        <v>314</v>
      </c>
      <c r="B26" s="18">
        <v>940</v>
      </c>
    </row>
    <row r="28" spans="1:2" x14ac:dyDescent="0.3">
      <c r="A28" s="20">
        <f>GETPIVOTDATA("Minecraft Season Pass Price",$A$22)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97"/>
  <sheetViews>
    <sheetView showGridLines="0" showRowColHeaders="0" tabSelected="1" zoomScale="115" zoomScaleNormal="115" workbookViewId="0">
      <selection activeCell="S10" sqref="S10"/>
    </sheetView>
  </sheetViews>
  <sheetFormatPr defaultRowHeight="14.4" x14ac:dyDescent="0.3"/>
  <cols>
    <col min="1" max="1" width="27" style="4" customWidth="1"/>
    <col min="2" max="2" width="3.5546875" customWidth="1"/>
    <col min="11" max="11" width="9.33203125" customWidth="1"/>
    <col min="12" max="12" width="6.5546875" customWidth="1"/>
  </cols>
  <sheetData>
    <row r="2" spans="1:17" ht="20.399999999999999" thickBot="1" x14ac:dyDescent="0.45">
      <c r="C2" s="15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5" thickTop="1" x14ac:dyDescent="0.3"/>
    <row r="4" spans="1:17" s="7" customFormat="1" ht="8.25" customHeight="1" x14ac:dyDescent="0.3">
      <c r="A4" s="4"/>
    </row>
    <row r="5" spans="1:17" s="7" customFormat="1" ht="7.5" customHeight="1" x14ac:dyDescent="0.3">
      <c r="A5" s="4"/>
    </row>
    <row r="6" spans="1:17" s="7" customFormat="1" ht="10.5" customHeight="1" x14ac:dyDescent="0.3">
      <c r="A6" s="4"/>
    </row>
    <row r="7" spans="1:17" s="7" customFormat="1" ht="9.75" customHeight="1" x14ac:dyDescent="0.3">
      <c r="A7" s="4"/>
    </row>
    <row r="8" spans="1:17" s="7" customFormat="1" ht="33" customHeight="1" x14ac:dyDescent="0.3">
      <c r="A8" s="4"/>
    </row>
    <row r="9" spans="1:17" s="7" customFormat="1" x14ac:dyDescent="0.3">
      <c r="A9" s="4"/>
    </row>
    <row r="10" spans="1:17" s="7" customFormat="1" x14ac:dyDescent="0.3">
      <c r="A10" s="4"/>
    </row>
    <row r="11" spans="1:17" s="7" customFormat="1" x14ac:dyDescent="0.3">
      <c r="A11" s="4"/>
    </row>
    <row r="12" spans="1:17" s="7" customFormat="1" x14ac:dyDescent="0.3">
      <c r="A12" s="4"/>
    </row>
    <row r="13" spans="1:17" s="7" customFormat="1" x14ac:dyDescent="0.3">
      <c r="A13" s="4"/>
    </row>
    <row r="14" spans="1:17" s="7" customFormat="1" x14ac:dyDescent="0.3">
      <c r="A14" s="4"/>
    </row>
    <row r="15" spans="1:17" s="7" customFormat="1" x14ac:dyDescent="0.3">
      <c r="A15" s="4"/>
    </row>
    <row r="16" spans="1:17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Claudio Lima dos Santos</cp:lastModifiedBy>
  <dcterms:created xsi:type="dcterms:W3CDTF">2024-12-19T13:13:10Z</dcterms:created>
  <dcterms:modified xsi:type="dcterms:W3CDTF">2026-02-26T13:49:23Z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